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4cdf1b908814e7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רשימות" sheetId="1" r:id="R796b143b4dc24623"/>
    <x:sheet xmlns:r="http://schemas.openxmlformats.org/officeDocument/2006/relationships" name="חוסרים לספר" sheetId="2" r:id="R39fa77f608a548c6"/>
    <x:sheet xmlns:r="http://schemas.openxmlformats.org/officeDocument/2006/relationships" name="סיכום" sheetId="3" r:id="R8631c6d6de65482a"/>
    <x:sheet xmlns:r="http://schemas.openxmlformats.org/officeDocument/2006/relationships" name="בדיקות נדרשות" sheetId="4" r:id="R19c90f0d7cf94c15"/>
    <x:sheet xmlns:r="http://schemas.openxmlformats.org/officeDocument/2006/relationships" name="רכיבים ומקורות" sheetId="5" r:id="Rb7868c160b08460b"/>
    <x:sheet xmlns:r="http://schemas.openxmlformats.org/officeDocument/2006/relationships" name="GitHub וקוד" sheetId="6" r:id="Rb80e34ddd1934d3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%"/>
  </x:numFmts>
  <x:fonts count="4">
    <x:font>
      <x:sz val="11"/>
      <x:name val="Carlito"/>
    </x:font>
    <x:font>
      <x:b/>
      <x:sz val="14"/>
      <x:color rgb="FFFFFF"/>
      <x:name val="Carlito"/>
    </x:font>
    <x:font>
      <x:b/>
      <x:sz val="11"/>
      <x:color rgb="1F4E78"/>
      <x:name val="Carlito"/>
    </x:font>
    <x:font>
      <x:b/>
      <x:sz val="11"/>
      <x:color rgb="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D9EAF7"/>
      </x:patternFill>
    </x:fill>
    <x:fill>
      <x:patternFill patternType="solid">
        <x:fgColor rgb="5B9BD5"/>
      </x:patternFill>
    </x:fill>
  </x:fills>
  <x:borders count="2">
    <x:border/>
    <x:border/>
  </x:borders>
  <x:cellStyleXfs count="1">
    <x:xf numFmtId="0" fontId="0" fillId="0" borderId="0"/>
  </x:cellStyleXfs>
  <x:cellXfs count="3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vertical="top"/>
    </x:xf>
    <x:xf numFmtId="0" fontId="0" fillId="0" borderId="0" xfId="0" applyNumberFormat="1" applyFont="1" applyFill="1" applyBorder="1" applyAlignment="1">
      <x:alignment vertical="top" wrapText="1"/>
    </x:xf>
    <x:xf numFmtId="0" fontId="3" fillId="4" borderId="1" xfId="0" applyNumberFormat="1" applyFont="1" applyFill="1" applyBorder="1" applyAlignment="1">
      <x:alignment horizontal="center" vertical="top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3" fillId="4" borderId="0" xfId="0" applyNumberFormat="1" applyFont="1" applyFill="1" applyBorder="1" applyAlignment="1">
      <x:alignment horizontal="center" vertical="center" wrapText="1"/>
    </x:xf>
    <x:xf numFmtId="0" fontId="3" fillId="4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8">
    <x:dxf>
      <x:font>
        <x:color rgb="006100"/>
      </x:font>
      <x:fill>
        <x:patternFill patternType="solid">
          <x:bgColor rgb="C6EFCE"/>
        </x:patternFill>
      </x:fill>
    </x:dxf>
    <x:dxf>
      <x:font>
        <x:color rgb="9C6500"/>
      </x:font>
      <x:fill>
        <x:patternFill patternType="solid">
          <x:bgColor rgb="FFEB9C"/>
        </x:patternFill>
      </x:fill>
    </x:dxf>
    <x:dxf>
      <x:font>
        <x:color rgb="9C0006"/>
      </x:font>
      <x:fill>
        <x:patternFill patternType="solid">
          <x:bgColor rgb="FFC7CE"/>
        </x:patternFill>
      </x:fill>
    </x:dxf>
    <x:dxf>
      <x:font>
        <x:b/>
      </x:font>
      <x:fill>
        <x:patternFill patternType="solid">
          <x:bgColor rgb="F4CCCC"/>
        </x:patternFill>
      </x:fill>
    </x:dxf>
    <x:dxf>
      <x:fill>
        <x:patternFill patternType="solid">
          <x:bgColor rgb="FFF2CC"/>
        </x:patternFill>
      </x:fill>
    </x:dxf>
    <x:dxf>
      <x:fill>
        <x:patternFill patternType="solid">
          <x:bgColor rgb="D9EAD3"/>
        </x:patternFill>
      </x:fill>
    </x:dxf>
    <x:dxf>
      <x:fill>
        <x:patternFill patternType="solid">
          <x:bgColor rgb="C6EFCE"/>
        </x:patternFill>
      </x:fill>
    </x:dxf>
    <x:dxf>
      <x:fill>
        <x:patternFill patternType="solid">
          <x:bgColor rgb="FFC7CE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3f4d093158e4528" /><Relationship Type="http://schemas.openxmlformats.org/officeDocument/2006/relationships/theme" Target="/xl/theme/theme1.xml" Id="Ra713a0ac441747c6" /><Relationship Type="http://schemas.openxmlformats.org/officeDocument/2006/relationships/sharedStrings" Target="/xl/sharedStrings.xml" Id="R3709ef435a34401b" /><Relationship Type="http://schemas.openxmlformats.org/officeDocument/2006/relationships/worksheet" Target="/xl/worksheets/sheet1.xml" Id="R796b143b4dc24623" /><Relationship Type="http://schemas.openxmlformats.org/officeDocument/2006/relationships/worksheet" Target="/xl/worksheets/sheet2.xml" Id="R39fa77f608a548c6" /><Relationship Type="http://schemas.openxmlformats.org/officeDocument/2006/relationships/worksheet" Target="/xl/worksheets/sheet3.xml" Id="R8631c6d6de65482a" /><Relationship Type="http://schemas.openxmlformats.org/officeDocument/2006/relationships/worksheet" Target="/xl/worksheets/sheet4.xml" Id="R19c90f0d7cf94c15" /><Relationship Type="http://schemas.openxmlformats.org/officeDocument/2006/relationships/worksheet" Target="/xl/worksheets/sheet5.xml" Id="Rb7868c160b08460b" /><Relationship Type="http://schemas.openxmlformats.org/officeDocument/2006/relationships/worksheet" Target="/xl/worksheets/sheet6.xml" Id="Rb80e34ddd1934d37" /></Relationships>
</file>

<file path=xl/tables/table1.xml><?xml version="1.0" encoding="utf-8"?>
<x:table xmlns:x="http://schemas.openxmlformats.org/spreadsheetml/2006/main" id="1" name="GapsTable" displayName="GapsTable" ref="A4:J21" headerRowCount="1">
  <x:tableColumns count="10">
    <x:tableColumn id="1" name="מספר"/>
    <x:tableColumn id="2" name="פרק בספר"/>
    <x:tableColumn id="3" name="מה חסר"/>
    <x:tableColumn id="4" name="מה צריך לעשות"/>
    <x:tableColumn id="5" name="תוצר נדרש"/>
    <x:tableColumn id="6" name="עדיפות"/>
    <x:tableColumn id="7" name="אחראי"/>
    <x:tableColumn id="8" name="סטטוס"/>
    <x:tableColumn id="9" name="מקור מידע"/>
    <x:tableColumn id="10" name="הערות"/>
  </x:tableColumns>
  <x:tableStyleInfo name="TableStyleMedium2" showRowStripes="1"/>
</x:table>
</file>

<file path=xl/tables/table2.xml><?xml version="1.0" encoding="utf-8"?>
<x:table xmlns:x="http://schemas.openxmlformats.org/spreadsheetml/2006/main" id="2" name="TestsTable" displayName="TestsTable" ref="A3:H12" headerRowCount="1">
  <x:tableColumns count="8">
    <x:tableColumn id="1" name="מספר"/>
    <x:tableColumn id="2" name="בדיקה"/>
    <x:tableColumn id="3" name="מטרה"/>
    <x:tableColumn id="4" name="ציוד נדרש"/>
    <x:tableColumn id="5" name="מדדים לתיעוד"/>
    <x:tableColumn id="6" name="תוצאה"/>
    <x:tableColumn id="7" name="סטטוס"/>
    <x:tableColumn id="8" name="הערות"/>
  </x:tableColumns>
  <x:tableStyleInfo name="TableStyleMedium2" showRowStripes="1"/>
</x:table>
</file>

<file path=xl/tables/table3.xml><?xml version="1.0" encoding="utf-8"?>
<x:table xmlns:x="http://schemas.openxmlformats.org/spreadsheetml/2006/main" id="3" name="RefsTable" displayName="RefsTable" ref="A3:H13" headerRowCount="1">
  <x:tableColumns count="8">
    <x:tableColumn id="1" name="רכיב או נושא"/>
    <x:tableColumn id="2" name="נכנס למערכת"/>
    <x:tableColumn id="3" name="תפקיד"/>
    <x:tableColumn id="4" name="מידע חסר"/>
    <x:tableColumn id="5" name="מקור נדרש"/>
    <x:tableColumn id="6" name="קישור"/>
    <x:tableColumn id="7" name="סטטוס"/>
    <x:tableColumn id="8" name="הערות"/>
  </x:tableColumns>
  <x:tableStyleInfo name="TableStyleMedium2" showRowStripes="1"/>
</x:table>
</file>

<file path=xl/tables/table4.xml><?xml version="1.0" encoding="utf-8"?>
<x:table xmlns:x="http://schemas.openxmlformats.org/spreadsheetml/2006/main" id="4" name="GitTasksTable" displayName="GitTasksTable" ref="A6:G11" headerRowCount="1">
  <x:tableColumns count="7">
    <x:tableColumn id="1" name="משימה"/>
    <x:tableColumn id="2" name="פירוט"/>
    <x:tableColumn id="3" name="תוצר"/>
    <x:tableColumn id="4" name="עדיפות"/>
    <x:tableColumn id="5" name="אחראי"/>
    <x:tableColumn id="6" name="סטטוס"/>
    <x:tableColumn id="7" name="הערות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44fe6df32be423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36be46cf70c44b7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161bb7c6a043413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0075d50a78094f9d" /></Relationships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סטטוס</x:v>
      </x:c>
      <x:c r="B1" t="str">
        <x:v>עדיפות</x:v>
      </x:c>
      <x:c r="C1" t="str">
        <x:v>אחראי</x:v>
      </x:c>
    </x:row>
    <x:row r="2">
      <x:c r="A2" t="str">
        <x:v>לא התחיל</x:v>
      </x:c>
      <x:c r="B2" t="str">
        <x:v>גבוהה</x:v>
      </x:c>
      <x:c r="C2" t="str">
        <x:v>שחר</x:v>
      </x:c>
    </x:row>
    <x:row r="3">
      <x:c r="A3" t="str">
        <x:v>בתהליך</x:v>
      </x:c>
      <x:c r="B3" t="str">
        <x:v>בינונית</x:v>
      </x:c>
      <x:c r="C3" t="str">
        <x:v>עמית</x:v>
      </x:c>
    </x:row>
    <x:row r="4">
      <x:c r="A4" t="str">
        <x:v>הושלם</x:v>
      </x:c>
      <x:c r="B4" t="str">
        <x:v>נמוכה</x:v>
      </x:c>
      <x:c r="C4" t="str">
        <x:v>שחר ועמית</x:v>
      </x:c>
    </x:row>
    <x:row r="5">
      <x:c r="A5" t="str">
        <x:v>לא רלוונטי</x:v>
      </x:c>
      <x:c r="C5" t="str">
        <x:v>מנחה</x:v>
      </x:c>
    </x:row>
    <x:row r="6">
      <x:c r="C6" t="str">
        <x:v>לא נקבע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26" hidden="0" customWidth="1"/>
    <x:col min="4" max="4" width="38" hidden="0" customWidth="1"/>
    <x:col min="5" max="5" width="30" hidden="0" customWidth="1"/>
    <x:col min="6" max="6" width="12" hidden="0" customWidth="1"/>
    <x:col min="7" max="7" width="14" hidden="0" customWidth="1"/>
    <x:col min="8" max="8" width="14" hidden="0" customWidth="1"/>
    <x:col min="9" max="9" width="24" hidden="0" customWidth="1"/>
    <x:col min="10" max="10" width="32" hidden="0" customWidth="1"/>
  </x:cols>
  <x:sheetData>
    <x:row r="1" ht="28" customHeight="1">
      <x:c r="A1" s="5" t="str">
        <x:v>רשימת חוסרים להשלמת ספר הפרויקט</x:v>
      </x:c>
    </x:row>
    <x:row r="2">
      <x:c r="A2" s="13" t="str">
        <x:v>פרויקט 3335 | עודכן בתאריך 11/06/2026</x:v>
      </x:c>
    </x:row>
    <x:row r="4">
      <x:c r="A4" s="28" t="str">
        <x:v>מספר</x:v>
      </x:c>
      <x:c r="B4" s="28" t="str">
        <x:v>פרק בספר</x:v>
      </x:c>
      <x:c r="C4" s="28" t="str">
        <x:v>מה חסר</x:v>
      </x:c>
      <x:c r="D4" s="28" t="str">
        <x:v>מה צריך לעשות</x:v>
      </x:c>
      <x:c r="E4" s="28" t="str">
        <x:v>תוצר נדרש</x:v>
      </x:c>
      <x:c r="F4" s="28" t="str">
        <x:v>עדיפות</x:v>
      </x:c>
      <x:c r="G4" s="28" t="str">
        <x:v>אחראי</x:v>
      </x:c>
      <x:c r="H4" s="28" t="str">
        <x:v>סטטוס</x:v>
      </x:c>
      <x:c r="I4" s="28" t="str">
        <x:v>מקור מידע</x:v>
      </x:c>
      <x:c r="J4" s="28" t="str">
        <x:v>הערות</x:v>
      </x:c>
    </x:row>
    <x:row r="5">
      <x:c r="A5" s="29" t="n">
        <x:v>1</x:v>
      </x:c>
      <x:c r="B5" s="29" t="str">
        <x:v>כללי</x:v>
      </x:c>
      <x:c r="C5" s="29" t="str">
        <x:v>סגירת מצב מערכת סופית</x:v>
      </x:c>
      <x:c r="D5" s="29" t="str">
        <x:v>להחליט ולתעד איזה רכיבים נכנסים למימוש הסופי ואיזה לא</x:v>
      </x:c>
      <x:c r="E5" s="29" t="str">
        <x:v>טבלת רכיבים סופית</x:v>
      </x:c>
      <x:c r="F5" s="29" t="str">
        <x:v>גבוהה</x:v>
      </x:c>
      <x:c r="G5" s="29" t="str">
        <x:v>שחר ועמית</x:v>
      </x:c>
      <x:c r="H5" s="29" t="str">
        <x:v>בתהליך</x:v>
      </x:c>
      <x:c r="I5" s="29" t="str">
        <x:v>שיחה נוכחית וגיטהאב</x:v>
      </x:c>
      <x:c r="J5" s="29" t="str">
        <x:v>כרגע ידוע שרק שני חיישנים לא נכנסו, צריך לפרט שמות</x:v>
      </x:c>
    </x:row>
    <x:row r="6">
      <x:c r="A6" s="29" t="n">
        <x:v>2</x:v>
      </x:c>
      <x:c r="B6" s="29" t="str">
        <x:v>מימוש חומרה</x:v>
      </x:c>
      <x:c r="C6" s="29" t="str">
        <x:v>טבלת רכיבים מלאה</x:v>
      </x:c>
      <x:c r="D6" s="29" t="str">
        <x:v>להוציא מהקובץ רכש ומהסכמות רשימת רכיבים, תפקיד, מתח עבודה, ממשק וסטטוס</x:v>
      </x:c>
      <x:c r="E6" s="29" t="str">
        <x:v>טבלת BOM לספר</x:v>
      </x:c>
      <x:c r="F6" s="29" t="str">
        <x:v>גבוהה</x:v>
      </x:c>
      <x:c r="G6" s="29" t="str">
        <x:v>שחר ועמית</x:v>
      </x:c>
      <x:c r="H6" s="29" t="str">
        <x:v>לא התחיל</x:v>
      </x:c>
      <x:c r="I6" s="29" t="str">
        <x:v>ריכוז נתונים לרכש וסכמות</x:v>
      </x:c>
      <x:c r="J6" s="29" t="str"/>
    </x:row>
    <x:row r="7">
      <x:c r="A7" s="29" t="n">
        <x:v>3</x:v>
      </x:c>
      <x:c r="B7" s="29" t="str">
        <x:v>מימוש חומרה</x:v>
      </x:c>
      <x:c r="C7" s="29" t="str">
        <x:v>תמונות של המערכת במציאות</x:v>
      </x:c>
      <x:c r="D7" s="29" t="str">
        <x:v>לצלם את הבקר, החיישנים, מודול הטעינה, הסוללות והחיבורים</x:v>
      </x:c>
      <x:c r="E7" s="29" t="str">
        <x:v>6 עד 8 תמונות מוכנות לשילוב בספר</x:v>
      </x:c>
      <x:c r="F7" s="29" t="str">
        <x:v>גבוהה</x:v>
      </x:c>
      <x:c r="G7" s="29" t="str">
        <x:v>שחר ועמית</x:v>
      </x:c>
      <x:c r="H7" s="29" t="str">
        <x:v>לא התחיל</x:v>
      </x:c>
      <x:c r="I7" s="29" t="str">
        <x:v>צילום עצמי</x:v>
      </x:c>
      <x:c r="J7" s="29" t="str">
        <x:v>חשוב לצלם באור טוב</x:v>
      </x:c>
    </x:row>
    <x:row r="8">
      <x:c r="A8" s="29" t="n">
        <x:v>4</x:v>
      </x:c>
      <x:c r="B8" s="29" t="str">
        <x:v>מימוש חומרה</x:v>
      </x:c>
      <x:c r="C8" s="29" t="str">
        <x:v>תיאור סכמות חשמליות</x:v>
      </x:c>
      <x:c r="D8" s="29" t="str">
        <x:v>להסביר כל בלוק בסכמה, הזנות, GPIO, חיישנים, מצלמה וטעינה</x:v>
      </x:c>
      <x:c r="E8" s="29" t="str">
        <x:v>פסקאות הסבר לכל סכמה</x:v>
      </x:c>
      <x:c r="F8" s="29" t="str">
        <x:v>בינונית</x:v>
      </x:c>
      <x:c r="G8" s="29" t="str">
        <x:v>שחר ועמית</x:v>
      </x:c>
      <x:c r="H8" s="29" t="str">
        <x:v>בתהליך</x:v>
      </x:c>
      <x:c r="I8" s="29" t="str">
        <x:v>components.png ו ESP32_module.png</x:v>
      </x:c>
      <x:c r="J8" s="29" t="str"/>
    </x:row>
    <x:row r="9">
      <x:c r="A9" s="29" t="n">
        <x:v>5</x:v>
      </x:c>
      <x:c r="B9" s="29" t="str">
        <x:v>מימוש תוכנה</x:v>
      </x:c>
      <x:c r="C9" s="29" t="str">
        <x:v>קוד סופי מאוחד</x:v>
      </x:c>
      <x:c r="D9" s="29" t="str">
        <x:v>ליצור תיקייה או קובץ final_system שמריץ את ה Flow הסופי</x:v>
      </x:c>
      <x:c r="E9" s="29" t="str">
        <x:v>main סופי או תיקיית final_system</x:v>
      </x:c>
      <x:c r="F9" s="29" t="str">
        <x:v>גבוהה</x:v>
      </x:c>
      <x:c r="G9" s="29" t="str">
        <x:v>שחר</x:v>
      </x:c>
      <x:c r="H9" s="29" t="str">
        <x:v>לא התחיל</x:v>
      </x:c>
      <x:c r="I9" s="29" t="str">
        <x:v>GitHub</x:v>
      </x:c>
      <x:c r="J9" s="29" t="str">
        <x:v>אפשר להשאיר מקום למודל AI כ Placeholder</x:v>
      </x:c>
    </x:row>
    <x:row r="10">
      <x:c r="A10" s="29" t="n">
        <x:v>6</x:v>
      </x:c>
      <x:c r="B10" s="29" t="str">
        <x:v>מימוש תוכנה</x:v>
      </x:c>
      <x:c r="C10" s="29" t="str">
        <x:v>דיאגרמת Flow תוכנה</x:v>
      </x:c>
      <x:c r="D10" s="29" t="str">
        <x:v>להכין תרשים זרימה מהשכמה ועד צילום ושליחה</x:v>
      </x:c>
      <x:c r="E10" s="29" t="str">
        <x:v>תרשים Flow נקי לספר</x:v>
      </x:c>
      <x:c r="F10" s="29" t="str">
        <x:v>גבוהה</x:v>
      </x:c>
      <x:c r="G10" s="29" t="str">
        <x:v>שחר</x:v>
      </x:c>
      <x:c r="H10" s="29" t="str">
        <x:v>לא התחיל</x:v>
      </x:c>
      <x:c r="I10" s="29" t="str">
        <x:v>מבנה הקוד</x:v>
      </x:c>
      <x:c r="J10" s="29" t="str"/>
    </x:row>
    <x:row r="11">
      <x:c r="A11" s="29" t="n">
        <x:v>7</x:v>
      </x:c>
      <x:c r="B11" s="29" t="str">
        <x:v>מימוש תוכנה</x:v>
      </x:c>
      <x:c r="C11" s="29" t="str">
        <x:v>תיאור קבצי GitHub</x:v>
      </x:c>
      <x:c r="D11" s="29" t="str">
        <x:v>לכתוב לכל תיקייה וקובץ מה התפקיד שלו</x:v>
      </x:c>
      <x:c r="E11" s="29" t="str">
        <x:v>טבלת תיעוד קבצים</x:v>
      </x:c>
      <x:c r="F11" s="29" t="str">
        <x:v>בינונית</x:v>
      </x:c>
      <x:c r="G11" s="29" t="str">
        <x:v>שחר</x:v>
      </x:c>
      <x:c r="H11" s="29" t="str">
        <x:v>לא התחיל</x:v>
      </x:c>
      <x:c r="I11" s="29" t="str">
        <x:v>GitHub</x:v>
      </x:c>
      <x:c r="J11" s="29" t="str">
        <x:v>קישור: https://github.com/Shacharito/Final-Project</x:v>
      </x:c>
    </x:row>
    <x:row r="12">
      <x:c r="A12" s="29" t="n">
        <x:v>8</x:v>
      </x:c>
      <x:c r="B12" s="29" t="str">
        <x:v>תוצאות ובדיקות</x:v>
      </x:c>
      <x:c r="C12" s="29" t="str">
        <x:v>בדיקות חיישנים</x:v>
      </x:c>
      <x:c r="D12" s="29" t="str">
        <x:v>לתעד עבור כל חיישן חיבור, GPIO, תנאי בדיקה ותוצאה</x:v>
      </x:c>
      <x:c r="E12" s="29" t="str">
        <x:v>טבלת בדיקות חיישנים</x:v>
      </x:c>
      <x:c r="F12" s="29" t="str">
        <x:v>גבוהה</x:v>
      </x:c>
      <x:c r="G12" s="29" t="str">
        <x:v>שחר ועמית</x:v>
      </x:c>
      <x:c r="H12" s="29" t="str">
        <x:v>לא התחיל</x:v>
      </x:c>
      <x:c r="I12" s="29" t="str">
        <x:v>מעבדה</x:v>
      </x:c>
      <x:c r="J12" s="29" t="str"/>
    </x:row>
    <x:row r="13">
      <x:c r="A13" s="29" t="n">
        <x:v>9</x:v>
      </x:c>
      <x:c r="B13" s="29" t="str">
        <x:v>תוצאות ובדיקות</x:v>
      </x:c>
      <x:c r="C13" s="29" t="str">
        <x:v>מדידות זרם</x:v>
      </x:c>
      <x:c r="D13" s="29" t="str">
        <x:v>למדוד זרם במצבי שינה, ערות, צילום, WiFi וחיישנים</x:v>
      </x:c>
      <x:c r="E13" s="29" t="str">
        <x:v>טבלת זרמים וגרף צריכה</x:v>
      </x:c>
      <x:c r="F13" s="29" t="str">
        <x:v>גבוהה</x:v>
      </x:c>
      <x:c r="G13" s="29" t="str">
        <x:v>שחר ועמית</x:v>
      </x:c>
      <x:c r="H13" s="29" t="str">
        <x:v>לא התחיל</x:v>
      </x:c>
      <x:c r="I13" s="29" t="str">
        <x:v>ספק כוח ומד זרם</x:v>
      </x:c>
      <x:c r="J13" s="29" t="str">
        <x:v>זה קריטי לפרק תוצאות</x:v>
      </x:c>
    </x:row>
    <x:row r="14">
      <x:c r="A14" s="29" t="n">
        <x:v>10</x:v>
      </x:c>
      <x:c r="B14" s="29" t="str">
        <x:v>תוצאות ובדיקות</x:v>
      </x:c>
      <x:c r="C14" s="29" t="str">
        <x:v>ניסוי זיהוי אמפירי</x:v>
      </x:c>
      <x:c r="D14" s="29" t="str">
        <x:v>לבצע ניסויים עם אדם, ללא אדם, תנועה לא רלוונטית וטווחים שונים</x:v>
      </x:c>
      <x:c r="E14" s="29" t="str">
        <x:v>טבלת Accuracy, Miss, False Alarm</x:v>
      </x:c>
      <x:c r="F14" s="29" t="str">
        <x:v>גבוהה</x:v>
      </x:c>
      <x:c r="G14" s="29" t="str">
        <x:v>שחר ועמית</x:v>
      </x:c>
      <x:c r="H14" s="29" t="str">
        <x:v>לא התחיל</x:v>
      </x:c>
      <x:c r="I14" s="29" t="str">
        <x:v>ניסוי שטח או מעבדה</x:v>
      </x:c>
      <x:c r="J14" s="29" t="str">
        <x:v>מומלץ לפחות 20 ניסיונות עם אדם ו 20 בלי</x:v>
      </x:c>
    </x:row>
    <x:row r="15">
      <x:c r="A15" s="29" t="n">
        <x:v>11</x:v>
      </x:c>
      <x:c r="B15" s="29" t="str">
        <x:v>תוצאות ובדיקות</x:v>
      </x:c>
      <x:c r="C15" s="29" t="str">
        <x:v>בדיקת טווח זיהוי</x:v>
      </x:c>
      <x:c r="D15" s="29" t="str">
        <x:v>לבדוק את המערכת בכמה מרחקים ולתעד הצלחה או כישלון</x:v>
      </x:c>
      <x:c r="E15" s="29" t="str">
        <x:v>טבלת טווחים</x:v>
      </x:c>
      <x:c r="F15" s="29" t="str">
        <x:v>גבוהה</x:v>
      </x:c>
      <x:c r="G15" s="29" t="str">
        <x:v>שחר ועמית</x:v>
      </x:c>
      <x:c r="H15" s="29" t="str">
        <x:v>לא התחיל</x:v>
      </x:c>
      <x:c r="I15" s="29" t="str">
        <x:v>ניסוי שטח</x:v>
      </x:c>
      <x:c r="J15" s="29" t="str">
        <x:v>קשור לדרישת 30 מטר</x:v>
      </x:c>
    </x:row>
    <x:row r="16">
      <x:c r="A16" s="29" t="n">
        <x:v>12</x:v>
      </x:c>
      <x:c r="B16" s="29" t="str">
        <x:v>תוצאות ובדיקות</x:v>
      </x:c>
      <x:c r="C16" s="29" t="str">
        <x:v>בדיקת תקשורת WiFi</x:v>
      </x:c>
      <x:c r="D16" s="29" t="str">
        <x:v>לתעד טווח תקשורת, זמן תגובה ויכולת קבלת סטטוס או תמונה</x:v>
      </x:c>
      <x:c r="E16" s="29" t="str">
        <x:v>טבלת בדיקת WiFi</x:v>
      </x:c>
      <x:c r="F16" s="29" t="str">
        <x:v>בינונית</x:v>
      </x:c>
      <x:c r="G16" s="29" t="str">
        <x:v>שחר</x:v>
      </x:c>
      <x:c r="H16" s="29" t="str">
        <x:v>לא התחיל</x:v>
      </x:c>
      <x:c r="I16" s="29" t="str">
        <x:v>Web Server ו Python</x:v>
      </x:c>
      <x:c r="J16" s="29" t="str"/>
    </x:row>
    <x:row r="17">
      <x:c r="A17" s="29" t="n">
        <x:v>13</x:v>
      </x:c>
      <x:c r="B17" s="29" t="str">
        <x:v>תוצאות ובדיקות</x:v>
      </x:c>
      <x:c r="C17" s="29" t="str">
        <x:v>צילומי מסך</x:v>
      </x:c>
      <x:c r="D17" s="29" t="str">
        <x:v>לצלם Serial Monitor, Web Server, Python client ותמונות שנשמרו</x:v>
      </x:c>
      <x:c r="E17" s="29" t="str">
        <x:v>תיקיית תמונות תיעוד</x:v>
      </x:c>
      <x:c r="F17" s="29" t="str">
        <x:v>בינונית</x:v>
      </x:c>
      <x:c r="G17" s="29" t="str">
        <x:v>שחר</x:v>
      </x:c>
      <x:c r="H17" s="29" t="str">
        <x:v>לא התחיל</x:v>
      </x:c>
      <x:c r="I17" s="29" t="str">
        <x:v>מחשב</x:v>
      </x:c>
      <x:c r="J17" s="29" t="str"/>
    </x:row>
    <x:row r="18">
      <x:c r="A18" s="29" t="n">
        <x:v>14</x:v>
      </x:c>
      <x:c r="B18" s="29" t="str">
        <x:v>תכנון וסימולציה</x:v>
      </x:c>
      <x:c r="C18" s="29" t="str">
        <x:v>חישוב חיי סוללה</x:v>
      </x:c>
      <x:c r="D18" s="29" t="str">
        <x:v>לחשב חיי סוללה לפי מדידות זרם ו Duty Cycle</x:v>
      </x:c>
      <x:c r="E18" s="29" t="str">
        <x:v>טבלת חישוב וגרף</x:v>
      </x:c>
      <x:c r="F18" s="29" t="str">
        <x:v>גבוהה</x:v>
      </x:c>
      <x:c r="G18" s="29" t="str">
        <x:v>שחר ועמית</x:v>
      </x:c>
      <x:c r="H18" s="29" t="str">
        <x:v>לא התחיל</x:v>
      </x:c>
      <x:c r="I18" s="29" t="str">
        <x:v>מדידות זרם</x:v>
      </x:c>
      <x:c r="J18" s="29" t="str">
        <x:v>אפשר להשתמש בנוסחה עם קיבולת mAh</x:v>
      </x:c>
    </x:row>
    <x:row r="19">
      <x:c r="A19" s="29" t="n">
        <x:v>15</x:v>
      </x:c>
      <x:c r="B19" s="29" t="str">
        <x:v>רקע תאורטי</x:v>
      </x:c>
      <x:c r="C19" s="29" t="str">
        <x:v>מקורות טכניים</x:v>
      </x:c>
      <x:c r="D19" s="29" t="str">
        <x:v>לאסוף Datasheets ומקורות ל ESP32 S3, OV2640, PIR, HLK, TP4056, Edge Impulse</x:v>
      </x:c>
      <x:c r="E19" s="29" t="str">
        <x:v>רשימת References</x:v>
      </x:c>
      <x:c r="F19" s="29" t="str">
        <x:v>גבוהה</x:v>
      </x:c>
      <x:c r="G19" s="29" t="str">
        <x:v>עמית</x:v>
      </x:c>
      <x:c r="H19" s="29" t="str">
        <x:v>לא התחיל</x:v>
      </x:c>
      <x:c r="I19" s="29" t="str">
        <x:v>אתרי יצרן</x:v>
      </x:c>
      <x:c r="J19" s="29" t="str"/>
    </x:row>
    <x:row r="20">
      <x:c r="A20" s="29" t="n">
        <x:v>16</x:v>
      </x:c>
      <x:c r="B20" s="29" t="str">
        <x:v>מסקנות</x:v>
      </x:c>
      <x:c r="C20" s="29" t="str">
        <x:v>סיכום עמידה בדרישות</x:v>
      </x:c>
      <x:c r="D20" s="29" t="str">
        <x:v>לסכם מה עמד בדרישות ומה נשאר חלקי לפי תוצאות המדידה</x:v>
      </x:c>
      <x:c r="E20" s="29" t="str">
        <x:v>טבלת דרישה מול תוצאה</x:v>
      </x:c>
      <x:c r="F20" s="29" t="str">
        <x:v>גבוהה</x:v>
      </x:c>
      <x:c r="G20" s="29" t="str">
        <x:v>שחר ועמית</x:v>
      </x:c>
      <x:c r="H20" s="29" t="str">
        <x:v>לא התחיל</x:v>
      </x:c>
      <x:c r="I20" s="29" t="str">
        <x:v>תוצאות בדיקות</x:v>
      </x:c>
      <x:c r="J20" s="29" t="str"/>
    </x:row>
    <x:row r="21">
      <x:c r="A21" s="29" t="n">
        <x:v>17</x:v>
      </x:c>
      <x:c r="B21" s="29" t="str">
        <x:v>נספחים</x:v>
      </x:c>
      <x:c r="C21" s="29" t="str">
        <x:v>נספחי תמונות ותיעוד</x:v>
      </x:c>
      <x:c r="D21" s="29" t="str">
        <x:v>להחליט אילו סכמות, תמונות וטבלאות ייכנסו כנספח ולא בגוף הספר</x:v>
      </x:c>
      <x:c r="E21" s="29" t="str">
        <x:v>רשימת נספחים</x:v>
      </x:c>
      <x:c r="F21" s="29" t="str">
        <x:v>נמוכה</x:v>
      </x:c>
      <x:c r="G21" s="29" t="str">
        <x:v>שחר ועמית</x:v>
      </x:c>
      <x:c r="H21" s="29" t="str">
        <x:v>לא התחיל</x:v>
      </x:c>
      <x:c r="I21" s="29" t="str">
        <x:v>כל החומרים</x:v>
      </x:c>
      <x:c r="J21" s="29" t="str"/>
    </x:row>
  </x:sheetData>
  <x:mergeCells>
    <x:mergeCell ref="A1:J1"/>
    <x:mergeCell ref="A2:J2"/>
  </x:mergeCells>
  <x:conditionalFormatting sqref="H5:H21">
    <x:cfRule type="expression" dxfId="0" priority="1">
      <x:formula>H5="הושלם"</x:formula>
    </x:cfRule>
    <x:cfRule type="expression" dxfId="1" priority="2">
      <x:formula>H5="בתהליך"</x:formula>
    </x:cfRule>
    <x:cfRule type="expression" dxfId="2" priority="3">
      <x:formula>H5="לא התחיל"</x:formula>
    </x:cfRule>
  </x:conditionalFormatting>
  <x:conditionalFormatting sqref="F5:F21">
    <x:cfRule type="expression" dxfId="3" priority="4">
      <x:formula>F5="גבוהה"</x:formula>
    </x:cfRule>
    <x:cfRule type="expression" dxfId="4" priority="5">
      <x:formula>F5="בינונית"</x:formula>
    </x:cfRule>
    <x:cfRule type="expression" dxfId="5" priority="6">
      <x:formula>F5="נמוכה"</x:formula>
    </x:cfRule>
  </x:conditionalFormatting>
  <x:dataValidations count="3">
    <x:dataValidation type="list" sqref="F5:F21">
      <x:formula1>רשימות!$B$2:$B$4</x:formula1>
    </x:dataValidation>
    <x:dataValidation type="list" sqref="G5:G21">
      <x:formula1>רשימות!$C$2:$C$6</x:formula1>
    </x:dataValidation>
    <x:dataValidation type="list" sqref="H5:H21">
      <x:formula1>רשימות!$A$2:$A$5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44fe6df32be4233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0" hidden="0" customWidth="1"/>
    <x:col min="4" max="4" width="24" hidden="0" customWidth="1"/>
    <x:col min="5" max="5" width="18" hidden="0" customWidth="1"/>
    <x:col min="3" max="3" width="38" hidden="0" customWidth="1"/>
  </x:cols>
  <x:sheetData>
    <x:row r="1" ht="28" customHeight="1">
      <x:c r="A1" s="5" t="str">
        <x:v>סיכום מצב השלמת ספר הפרויקט</x:v>
      </x:c>
    </x:row>
    <x:row r="3">
      <x:c r="A3" s="21" t="str">
        <x:v>מדד</x:v>
      </x:c>
      <x:c r="B3" s="21" t="str">
        <x:v>ערך</x:v>
      </x:c>
      <x:c r="D3" s="21" t="str">
        <x:v>עדיפות</x:v>
      </x:c>
      <x:c r="E3" s="21" t="str">
        <x:v>כמות</x:v>
      </x:c>
    </x:row>
    <x:row r="4">
      <x:c r="A4" t="str">
        <x:v>סהכ משימות</x:v>
      </x:c>
      <x:c r="B4" t="n">
        <x:f>COUNTA('חוסרים לספר'!A5:A21)</x:f>
        <x:v>17</x:v>
      </x:c>
      <x:c r="D4" t="str">
        <x:v>גבוהה</x:v>
      </x:c>
      <x:c r="E4" t="n">
        <x:f>COUNTIF('חוסרים לספר'!F5:F21,"גבוהה")</x:f>
        <x:v>12</x:v>
      </x:c>
    </x:row>
    <x:row r="5">
      <x:c r="A5" t="str">
        <x:v>הושלם</x:v>
      </x:c>
      <x:c r="B5" t="n">
        <x:f>COUNTIF('חוסרים לספר'!H5:H21,"הושלם")</x:f>
        <x:v>0</x:v>
      </x:c>
      <x:c r="D5" t="str">
        <x:v>בינונית</x:v>
      </x:c>
      <x:c r="E5" t="n">
        <x:f>COUNTIF('חוסרים לספר'!F5:F21,"בינונית")</x:f>
        <x:v>4</x:v>
      </x:c>
    </x:row>
    <x:row r="6">
      <x:c r="A6" t="str">
        <x:v>בתהליך</x:v>
      </x:c>
      <x:c r="B6" t="n">
        <x:f>COUNTIF('חוסרים לספר'!H5:H21,"בתהליך")</x:f>
        <x:v>2</x:v>
      </x:c>
      <x:c r="D6" t="str">
        <x:v>נמוכה</x:v>
      </x:c>
      <x:c r="E6" t="n">
        <x:f>COUNTIF('חוסרים לספר'!F5:F21,"נמוכה")</x:f>
        <x:v>1</x:v>
      </x:c>
    </x:row>
    <x:row r="7">
      <x:c r="A7" t="str">
        <x:v>לא התחיל</x:v>
      </x:c>
      <x:c r="B7" t="n">
        <x:f>COUNTIF('חוסרים לספר'!H5:H21,"לא התחיל")</x:f>
        <x:v>15</x:v>
      </x:c>
    </x:row>
    <x:row r="8">
      <x:c r="A8" t="str">
        <x:v>אחוז השלמה</x:v>
      </x:c>
      <x:c r="B8" s="32" t="n">
        <x:f>IF(B4=0,0,B5/B4)</x:f>
        <x:v>0</x:v>
      </x:c>
    </x:row>
    <x:row r="10">
      <x:c r="A10" s="13" t="str">
        <x:v>המלצת סדר עבודה קרובה</x:v>
      </x:c>
    </x:row>
    <x:row r="11">
      <x:c r="A11" s="34" t="str">
        <x:v>שלב</x:v>
      </x:c>
      <x:c r="B11" s="34" t="str">
        <x:v>פעולה</x:v>
      </x:c>
      <x:c r="C11" s="34" t="str">
        <x:v>למה זה חשוב</x:v>
      </x:c>
      <x:c r="D11" s="34" t="str">
        <x:v>תוצר</x:v>
      </x:c>
      <x:c r="E11" s="26"/>
      <x:c r="F11" s="26"/>
      <x:c r="G11" s="26"/>
      <x:c r="H11" s="26"/>
    </x:row>
    <x:row r="12">
      <x:c r="A12" s="26" t="n">
        <x:v>1</x:v>
      </x:c>
      <x:c r="B12" s="26" t="str">
        <x:v>לסגור רשימת רכיבים סופית</x:v>
      </x:c>
      <x:c r="C12" s="26" t="str">
        <x:v>בלי זה קשה לכתוב את פרק החומרה</x:v>
      </x:c>
      <x:c r="D12" s="26" t="str">
        <x:v>טבלת רכיבים</x:v>
      </x:c>
      <x:c r="E12" s="26"/>
      <x:c r="F12" s="26"/>
      <x:c r="G12" s="26"/>
      <x:c r="H12" s="26"/>
    </x:row>
    <x:row r="13">
      <x:c r="A13" s="26" t="n">
        <x:v>2</x:v>
      </x:c>
      <x:c r="B13" s="26" t="str">
        <x:v>ליצור קוד סופי או תיקיית final_system</x:v>
      </x:c>
      <x:c r="C13" s="26" t="str">
        <x:v>בספר צריך לתאר מימוש ברור</x:v>
      </x:c>
      <x:c r="D13" s="26" t="str">
        <x:v>קוד מרכזי</x:v>
      </x:c>
      <x:c r="E13" s="26"/>
      <x:c r="F13" s="26"/>
      <x:c r="G13" s="26"/>
      <x:c r="H13" s="26"/>
    </x:row>
    <x:row r="14">
      <x:c r="A14" s="26" t="n">
        <x:v>3</x:v>
      </x:c>
      <x:c r="B14" s="26" t="str">
        <x:v>למדוד זרמים</x:v>
      </x:c>
      <x:c r="C14" s="26" t="str">
        <x:v>נדרש לפרק תוצאות ולחישוב סוללה</x:v>
      </x:c>
      <x:c r="D14" s="26" t="str">
        <x:v>טבלת זרמים</x:v>
      </x:c>
      <x:c r="E14" s="26"/>
      <x:c r="F14" s="26"/>
      <x:c r="G14" s="26"/>
      <x:c r="H14" s="26"/>
    </x:row>
    <x:row r="15">
      <x:c r="A15" s="26" t="n">
        <x:v>4</x:v>
      </x:c>
      <x:c r="B15" s="26" t="str">
        <x:v>לבצע ניסוי זיהוי</x:v>
      </x:c>
      <x:c r="C15" s="26" t="str">
        <x:v>נדרש להוכחת דרישות הדיוק</x:v>
      </x:c>
      <x:c r="D15" s="26" t="str">
        <x:v>טבלת הצלחה וכישלון</x:v>
      </x:c>
      <x:c r="E15" s="26"/>
      <x:c r="F15" s="26"/>
      <x:c r="G15" s="26"/>
      <x:c r="H15" s="26"/>
    </x:row>
    <x:row r="16">
      <x:c r="A16" s="26" t="n">
        <x:v>5</x:v>
      </x:c>
      <x:c r="B16" s="26" t="str">
        <x:v>לצלם את המערכת</x:v>
      </x:c>
      <x:c r="C16" s="26" t="str">
        <x:v>נדרש לפרק המימוש</x:v>
      </x:c>
      <x:c r="D16" s="26" t="str">
        <x:v>תמונות לספר</x:v>
      </x:c>
      <x:c r="E16" s="26"/>
      <x:c r="F16" s="26"/>
      <x:c r="G16" s="26"/>
      <x:c r="H16" s="26"/>
    </x:row>
    <x:row r="17">
      <x:c r="A17" s="26" t="n">
        <x:v>6</x:v>
      </x:c>
      <x:c r="B17" s="26" t="str">
        <x:v>לאסוף מקורות</x:v>
      </x:c>
      <x:c r="C17" s="26" t="str">
        <x:v>נדרש לפרק References</x:v>
      </x:c>
      <x:c r="D17" s="26" t="str">
        <x:v>רשימת קישורים</x:v>
      </x:c>
      <x:c r="E17" s="26"/>
      <x:c r="F17" s="26"/>
      <x:c r="G17" s="26"/>
      <x:c r="H17" s="26"/>
    </x:row>
  </x:sheetData>
  <x:mergeCells>
    <x:mergeCell ref="A1:H1"/>
    <x:mergeCell ref="A10:H10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32" hidden="0" customWidth="1"/>
    <x:col min="4" max="4" width="25" hidden="0" customWidth="1"/>
    <x:col min="5" max="5" width="32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28" customHeight="1">
      <x:c r="A1" s="5" t="str">
        <x:v>בדיקות ומדידות שצריך להשלים</x:v>
      </x:c>
    </x:row>
    <x:row r="3">
      <x:c r="A3" s="21" t="str">
        <x:v>מספר</x:v>
      </x:c>
      <x:c r="B3" s="21" t="str">
        <x:v>בדיקה</x:v>
      </x:c>
      <x:c r="C3" s="21" t="str">
        <x:v>מטרה</x:v>
      </x:c>
      <x:c r="D3" s="21" t="str">
        <x:v>ציוד נדרש</x:v>
      </x:c>
      <x:c r="E3" s="21" t="str">
        <x:v>מדדים לתיעוד</x:v>
      </x:c>
      <x:c r="F3" s="21" t="str">
        <x:v>תוצאה</x:v>
      </x:c>
      <x:c r="G3" s="21" t="str">
        <x:v>סטטוס</x:v>
      </x:c>
      <x:c r="H3" s="21" t="str">
        <x:v>הערות</x:v>
      </x:c>
    </x:row>
    <x:row r="4">
      <x:c r="A4" s="26" t="n">
        <x:v>1</x:v>
      </x:c>
      <x:c r="B4" s="26" t="str">
        <x:v>Deep Sleep</x:v>
      </x:c>
      <x:c r="C4" s="26" t="str">
        <x:v>מדידת צריכת זרם במצב שינה</x:v>
      </x:c>
      <x:c r="D4" s="26" t="str">
        <x:v>ספק כוח או מד זרם</x:v>
      </x:c>
      <x:c r="E4" s="26" t="str">
        <x:v>זרם mA או uA</x:v>
      </x:c>
      <x:c r="F4" s="26" t="str"/>
      <x:c r="G4" s="26" t="str">
        <x:v>לא התחיל</x:v>
      </x:c>
      <x:c r="H4" s="26" t="str"/>
    </x:row>
    <x:row r="5">
      <x:c r="A5" s="26" t="n">
        <x:v>2</x:v>
      </x:c>
      <x:c r="B5" s="26" t="str">
        <x:v>Idle</x:v>
      </x:c>
      <x:c r="C5" s="26" t="str">
        <x:v>מדידת צריכת זרם כשהבקר ער</x:v>
      </x:c>
      <x:c r="D5" s="26" t="str">
        <x:v>ספק כוח או מד זרם</x:v>
      </x:c>
      <x:c r="E5" s="26" t="str">
        <x:v>זרם mA</x:v>
      </x:c>
      <x:c r="F5" s="26" t="str"/>
      <x:c r="G5" s="26" t="str">
        <x:v>לא התחיל</x:v>
      </x:c>
      <x:c r="H5" s="26" t="str"/>
    </x:row>
    <x:row r="6">
      <x:c r="A6" s="26" t="n">
        <x:v>3</x:v>
      </x:c>
      <x:c r="B6" s="26" t="str">
        <x:v>Camera Capture</x:v>
      </x:c>
      <x:c r="C6" s="26" t="str">
        <x:v>בדיקת צריכת זרם בזמן צילום</x:v>
      </x:c>
      <x:c r="D6" s="26" t="str">
        <x:v>ESP32 ומד זרם</x:v>
      </x:c>
      <x:c r="E6" s="26" t="str">
        <x:v>זרם שיא וזמן צילום</x:v>
      </x:c>
      <x:c r="F6" s="26" t="str"/>
      <x:c r="G6" s="26" t="str">
        <x:v>לא התחיל</x:v>
      </x:c>
      <x:c r="H6" s="26" t="str"/>
    </x:row>
    <x:row r="7">
      <x:c r="A7" s="26" t="n">
        <x:v>4</x:v>
      </x:c>
      <x:c r="B7" s="26" t="str">
        <x:v>WiFi Active</x:v>
      </x:c>
      <x:c r="C7" s="26" t="str">
        <x:v>בדיקת זרם וזמן תגובה בתקשורת</x:v>
      </x:c>
      <x:c r="D7" s="26" t="str">
        <x:v>Web Server ומד זרם</x:v>
      </x:c>
      <x:c r="E7" s="26" t="str">
        <x:v>זרם, זמן תגובה, הצלחה</x:v>
      </x:c>
      <x:c r="F7" s="26" t="str"/>
      <x:c r="G7" s="26" t="str">
        <x:v>לא התחיל</x:v>
      </x:c>
      <x:c r="H7" s="26" t="str"/>
    </x:row>
    <x:row r="8">
      <x:c r="A8" s="26" t="n">
        <x:v>5</x:v>
      </x:c>
      <x:c r="B8" s="26" t="str">
        <x:v>PIR Trigger</x:v>
      </x:c>
      <x:c r="C8" s="26" t="str">
        <x:v>בדיקת הפעלת צילום מטריגר</x:v>
      </x:c>
      <x:c r="D8" s="26" t="str">
        <x:v>PIR, ESP32, Serial Monitor</x:v>
      </x:c>
      <x:c r="E8" s="26" t="str">
        <x:v>מספר ניסיונות, הצלחות, פספוסים</x:v>
      </x:c>
      <x:c r="F8" s="26" t="str"/>
      <x:c r="G8" s="26" t="str">
        <x:v>לא התחיל</x:v>
      </x:c>
      <x:c r="H8" s="26" t="str"/>
    </x:row>
    <x:row r="9">
      <x:c r="A9" s="26" t="n">
        <x:v>6</x:v>
      </x:c>
      <x:c r="B9" s="26" t="str">
        <x:v>HLK LD2451</x:v>
      </x:c>
      <x:c r="C9" s="26" t="str">
        <x:v>בדיקת זיהוי נוכחות או תנועה</x:v>
      </x:c>
      <x:c r="D9" s="26" t="str">
        <x:v>חיישן, ESP32, Serial Monitor</x:v>
      </x:c>
      <x:c r="E9" s="26" t="str">
        <x:v>זיהוי, מרחק, יציבות</x:v>
      </x:c>
      <x:c r="F9" s="26" t="str"/>
      <x:c r="G9" s="26" t="str">
        <x:v>לא התחיל</x:v>
      </x:c>
      <x:c r="H9" s="26" t="str"/>
    </x:row>
    <x:row r="10">
      <x:c r="A10" s="26" t="n">
        <x:v>7</x:v>
      </x:c>
      <x:c r="B10" s="26" t="str">
        <x:v>ניסוי אדם מול לא אדם</x:v>
      </x:c>
      <x:c r="C10" s="26" t="str">
        <x:v>חישוב דיוק וזיהוי שווא</x:v>
      </x:c>
      <x:c r="D10" s="26" t="str">
        <x:v>מערכת מלאה</x:v>
      </x:c>
      <x:c r="E10" s="26" t="str">
        <x:v>TP, FP, TN, FN, אחוזי הצלחה</x:v>
      </x:c>
      <x:c r="F10" s="26" t="str"/>
      <x:c r="G10" s="26" t="str">
        <x:v>לא התחיל</x:v>
      </x:c>
      <x:c r="H10" s="26" t="str">
        <x:v>מומלץ לפחות 40 ניסיונות</x:v>
      </x:c>
    </x:row>
    <x:row r="11">
      <x:c r="A11" s="26" t="n">
        <x:v>8</x:v>
      </x:c>
      <x:c r="B11" s="26" t="str">
        <x:v>טווח זיהוי</x:v>
      </x:c>
      <x:c r="C11" s="26" t="str">
        <x:v>בדיקה מול דרישת עד 30 מטר</x:v>
      </x:c>
      <x:c r="D11" s="26" t="str">
        <x:v>מערכת מלאה ושטח פתוח</x:v>
      </x:c>
      <x:c r="E11" s="26" t="str">
        <x:v>מרחק, הצלחה, פספוס</x:v>
      </x:c>
      <x:c r="F11" s="26" t="str"/>
      <x:c r="G11" s="26" t="str">
        <x:v>לא התחיל</x:v>
      </x:c>
      <x:c r="H11" s="26" t="str"/>
    </x:row>
    <x:row r="12">
      <x:c r="A12" s="26" t="n">
        <x:v>9</x:v>
      </x:c>
      <x:c r="B12" s="26" t="str">
        <x:v>שמירת תמונה</x:v>
      </x:c>
      <x:c r="C12" s="26" t="str">
        <x:v>לוודא שהתמונה נשמרת במחשב</x:v>
      </x:c>
      <x:c r="D12" s="26" t="str">
        <x:v>Python client או WiFi</x:v>
      </x:c>
      <x:c r="E12" s="26" t="str">
        <x:v>שם קובץ, איכות תמונה</x:v>
      </x:c>
      <x:c r="F12" s="26" t="str"/>
      <x:c r="G12" s="26" t="str">
        <x:v>לא התחיל</x:v>
      </x:c>
      <x:c r="H12" s="26" t="str"/>
    </x:row>
  </x:sheetData>
  <x:mergeCells>
    <x:mergeCell ref="A1:H1"/>
  </x:mergeCells>
  <x:conditionalFormatting sqref="G4:G12">
    <x:cfRule type="expression" dxfId="6" priority="1">
      <x:formula>G4="הושלם"</x:formula>
    </x:cfRule>
    <x:cfRule type="expression" dxfId="7" priority="2">
      <x:formula>G4="לא התחיל"</x:formula>
    </x:cfRule>
  </x:conditionalFormatting>
  <x:dataValidations count="1">
    <x:dataValidation type="list" sqref="G4:G12">
      <x:formula1>רשימות!$A$2:$A$5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6be46cf70c44b7c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32" hidden="0" customWidth="1"/>
    <x:col min="5" max="5" width="24" hidden="0" customWidth="1"/>
    <x:col min="6" max="6" width="38" hidden="0" customWidth="1"/>
    <x:col min="7" max="7" width="18" hidden="0" customWidth="1"/>
    <x:col min="8" max="8" width="18" hidden="0" customWidth="1"/>
  </x:cols>
  <x:sheetData>
    <x:row r="1" ht="28" customHeight="1">
      <x:c r="A1" s="5" t="str">
        <x:v>רכיבים ומקורות שצריך להשלים</x:v>
      </x:c>
    </x:row>
    <x:row r="3">
      <x:c r="A3" s="21" t="str">
        <x:v>רכיב או נושא</x:v>
      </x:c>
      <x:c r="B3" s="21" t="str">
        <x:v>נכנס למערכת</x:v>
      </x:c>
      <x:c r="C3" s="21" t="str">
        <x:v>תפקיד</x:v>
      </x:c>
      <x:c r="D3" s="21" t="str">
        <x:v>מידע חסר</x:v>
      </x:c>
      <x:c r="E3" s="21" t="str">
        <x:v>מקור נדרש</x:v>
      </x:c>
      <x:c r="F3" s="21" t="str">
        <x:v>קישור</x:v>
      </x:c>
      <x:c r="G3" s="21" t="str">
        <x:v>סטטוס</x:v>
      </x:c>
      <x:c r="H3" s="21" t="str">
        <x:v>הערות</x:v>
      </x:c>
    </x:row>
    <x:row r="4">
      <x:c r="A4" s="26" t="str">
        <x:v>ESP32 S3 CAM</x:v>
      </x:c>
      <x:c r="B4" s="26" t="str">
        <x:v>כן</x:v>
      </x:c>
      <x:c r="C4" s="26" t="str">
        <x:v>בקר ראשי ומצלמה</x:v>
      </x:c>
      <x:c r="D4" s="26" t="str">
        <x:v>דגם מדויק, מתח, GPIO, צריכת זרם</x:v>
      </x:c>
      <x:c r="E4" s="26" t="str">
        <x:v>Datasheet או User Guide</x:v>
      </x:c>
      <x:c r="F4" s="26" t="str"/>
      <x:c r="G4" s="26" t="str">
        <x:v>לא התחיל</x:v>
      </x:c>
      <x:c r="H4" s="26" t="str"/>
    </x:row>
    <x:row r="5">
      <x:c r="A5" s="26" t="str">
        <x:v>OV2640</x:v>
      </x:c>
      <x:c r="B5" s="26" t="str">
        <x:v>כן</x:v>
      </x:c>
      <x:c r="C5" s="26" t="str">
        <x:v>מצלמה</x:v>
      </x:c>
      <x:c r="D5" s="26" t="str">
        <x:v>רזולוציה, ממשק, צריכת זרם</x:v>
      </x:c>
      <x:c r="E5" s="26" t="str">
        <x:v>Datasheet</x:v>
      </x:c>
      <x:c r="F5" s="26" t="str"/>
      <x:c r="G5" s="26" t="str">
        <x:v>לא התחיל</x:v>
      </x:c>
      <x:c r="H5" s="26" t="str"/>
    </x:row>
    <x:row r="6">
      <x:c r="A6" s="26" t="str">
        <x:v>PIR</x:v>
      </x:c>
      <x:c r="B6" s="26" t="str">
        <x:v>כן</x:v>
      </x:c>
      <x:c r="C6" s="26" t="str">
        <x:v>טריגר תנועה</x:v>
      </x:c>
      <x:c r="D6" s="26" t="str">
        <x:v>דגם מדויק, טווח, מתח, זרם</x:v>
      </x:c>
      <x:c r="E6" s="26" t="str">
        <x:v>Datasheet</x:v>
      </x:c>
      <x:c r="F6" s="26" t="str"/>
      <x:c r="G6" s="26" t="str">
        <x:v>לא התחיל</x:v>
      </x:c>
      <x:c r="H6" s="26" t="str"/>
    </x:row>
    <x:row r="7">
      <x:c r="A7" s="26" t="str">
        <x:v>HLK LD2451</x:v>
      </x:c>
      <x:c r="B7" s="26" t="str">
        <x:v>כן</x:v>
      </x:c>
      <x:c r="C7" s="26" t="str">
        <x:v>חיישן נוכחות או תנועה</x:v>
      </x:c>
      <x:c r="D7" s="26" t="str">
        <x:v>ממשק, מתח, זרם, טווח</x:v>
      </x:c>
      <x:c r="E7" s="26" t="str">
        <x:v>Datasheet</x:v>
      </x:c>
      <x:c r="F7" s="26" t="str"/>
      <x:c r="G7" s="26" t="str">
        <x:v>לא התחיל</x:v>
      </x:c>
      <x:c r="H7" s="26" t="str"/>
    </x:row>
    <x:row r="8">
      <x:c r="A8" s="26" t="str">
        <x:v>K LD2</x:v>
      </x:c>
      <x:c r="B8" s="26" t="str">
        <x:v>צריך החלטה</x:v>
      </x:c>
      <x:c r="C8" s="26" t="str">
        <x:v>רדאר</x:v>
      </x:c>
      <x:c r="D8" s="26" t="str">
        <x:v>האם נכנס לספר ומה הסטטוס</x:v>
      </x:c>
      <x:c r="E8" s="26" t="str">
        <x:v>Datasheet</x:v>
      </x:c>
      <x:c r="F8" s="26" t="str"/>
      <x:c r="G8" s="26" t="str">
        <x:v>לא התחיל</x:v>
      </x:c>
      <x:c r="H8" s="26" t="str"/>
    </x:row>
    <x:row r="9">
      <x:c r="A9" s="26" t="str">
        <x:v>YDLIDAR SDM18</x:v>
      </x:c>
      <x:c r="B9" s="26" t="str">
        <x:v>צריך החלטה</x:v>
      </x:c>
      <x:c r="C9" s="26" t="str">
        <x:v>LIDAR</x:v>
      </x:c>
      <x:c r="D9" s="26" t="str">
        <x:v>האם נכנס לספר ומה הסטטוס</x:v>
      </x:c>
      <x:c r="E9" s="26" t="str">
        <x:v>Datasheet</x:v>
      </x:c>
      <x:c r="F9" s="26" t="str"/>
      <x:c r="G9" s="26" t="str">
        <x:v>לא התחיל</x:v>
      </x:c>
      <x:c r="H9" s="26" t="str"/>
    </x:row>
    <x:row r="10">
      <x:c r="A10" s="26" t="str">
        <x:v>HLK LD2410C</x:v>
      </x:c>
      <x:c r="B10" s="26" t="str">
        <x:v>לא</x:v>
      </x:c>
      <x:c r="C10" s="26" t="str">
        <x:v>חיישן שנבדק</x:v>
      </x:c>
      <x:c r="D10" s="26" t="str">
        <x:v>להסביר בקצרה למה לא נכנס</x:v>
      </x:c>
      <x:c r="E10" s="26" t="str">
        <x:v>Datasheet אם מוזכר</x:v>
      </x:c>
      <x:c r="F10" s="26" t="str"/>
      <x:c r="G10" s="26" t="str">
        <x:v>לא התחיל</x:v>
      </x:c>
      <x:c r="H10" s="26" t="str"/>
    </x:row>
    <x:row r="11">
      <x:c r="A11" s="26" t="str">
        <x:v>TP4056</x:v>
      </x:c>
      <x:c r="B11" s="26" t="str">
        <x:v>כן</x:v>
      </x:c>
      <x:c r="C11" s="26" t="str">
        <x:v>מודול טעינה</x:v>
      </x:c>
      <x:c r="D11" s="26" t="str">
        <x:v>זרם טעינה, מתח כניסה, הגנות</x:v>
      </x:c>
      <x:c r="E11" s="26" t="str">
        <x:v>Datasheet</x:v>
      </x:c>
      <x:c r="F11" s="26" t="str"/>
      <x:c r="G11" s="26" t="str">
        <x:v>לא התחיל</x:v>
      </x:c>
      <x:c r="H11" s="26" t="str"/>
    </x:row>
    <x:row r="12">
      <x:c r="A12" s="26" t="str">
        <x:v>18650 Battery Shield</x:v>
      </x:c>
      <x:c r="B12" s="26" t="str">
        <x:v>כן</x:v>
      </x:c>
      <x:c r="C12" s="26" t="str">
        <x:v>אספקת מתח</x:v>
      </x:c>
      <x:c r="D12" s="26" t="str">
        <x:v>קיבולת סוללה, יציאה, זרם מקסימלי</x:v>
      </x:c>
      <x:c r="E12" s="26" t="str">
        <x:v>Datasheet או עמוד מוצר</x:v>
      </x:c>
      <x:c r="F12" s="26" t="str"/>
      <x:c r="G12" s="26" t="str">
        <x:v>לא התחיל</x:v>
      </x:c>
      <x:c r="H12" s="26" t="str"/>
    </x:row>
    <x:row r="13">
      <x:c r="A13" s="26" t="str">
        <x:v>Edge Impulse</x:v>
      </x:c>
      <x:c r="B13" s="26" t="str">
        <x:v>חלקי</x:v>
      </x:c>
      <x:c r="C13" s="26" t="str">
        <x:v>מודל AI</x:v>
      </x:c>
      <x:c r="D13" s="26" t="str">
        <x:v>תיאור שימוש, סטטוס, מגבלות</x:v>
      </x:c>
      <x:c r="E13" s="26" t="str">
        <x:v>Documentation</x:v>
      </x:c>
      <x:c r="F13" s="26" t="str"/>
      <x:c r="G13" s="26" t="str">
        <x:v>לא התחיל</x:v>
      </x:c>
      <x:c r="H13" s="26" t="str"/>
    </x:row>
  </x:sheetData>
  <x:mergeCells>
    <x:mergeCell ref="A1:H1"/>
  </x:mergeCells>
  <x:dataValidations count="1">
    <x:dataValidation type="list" sqref="G4:G13">
      <x:formula1>רשימות!$A$2:$A$5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61bb7c6a043413f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44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</x:cols>
  <x:sheetData>
    <x:row r="1" ht="28" customHeight="1">
      <x:c r="A1" s="5" t="str">
        <x:v>סידור GitHub וקוד לקראת ספר הפרויקט</x:v>
      </x:c>
    </x:row>
    <x:row r="3">
      <x:c r="A3" s="21" t="str">
        <x:v>קישור GitHub</x:v>
      </x:c>
      <x:c r="B3" t="str">
        <x:v>https://github.com/Shacharito/Final-Project</x:v>
      </x:c>
    </x:row>
    <x:row r="4">
      <x:c r="A4" s="21" t="str">
        <x:v>מטרה</x:v>
      </x:c>
      <x:c r="B4" t="str">
        <x:v>לייצר תיעוד ברור של הקוד והקבצים עבור פרק Project Documentation</x:v>
      </x:c>
    </x:row>
    <x:row r="6">
      <x:c r="A6" s="21" t="str">
        <x:v>משימה</x:v>
      </x:c>
      <x:c r="B6" s="21" t="str">
        <x:v>פירוט</x:v>
      </x:c>
      <x:c r="C6" s="21" t="str">
        <x:v>תוצר</x:v>
      </x:c>
      <x:c r="D6" s="21" t="str">
        <x:v>עדיפות</x:v>
      </x:c>
      <x:c r="E6" s="21" t="str">
        <x:v>אחראי</x:v>
      </x:c>
      <x:c r="F6" s="21" t="str">
        <x:v>סטטוס</x:v>
      </x:c>
      <x:c r="G6" s="21" t="str">
        <x:v>הערות</x:v>
      </x:c>
    </x:row>
    <x:row r="7">
      <x:c r="A7" s="26" t="str">
        <x:v>יצירת תיקיית final_system</x:v>
      </x:c>
      <x:c r="B7" s="26" t="str">
        <x:v>לרכז את הקוד שמייצג את ה Flow הסופי</x:v>
      </x:c>
      <x:c r="C7" s="26" t="str">
        <x:v>תיקייה בגיטהאב</x:v>
      </x:c>
      <x:c r="D7" s="26" t="str">
        <x:v>גבוהה</x:v>
      </x:c>
      <x:c r="E7" s="26" t="str">
        <x:v>שחר</x:v>
      </x:c>
      <x:c r="F7" s="26" t="str">
        <x:v>לא התחיל</x:v>
      </x:c>
      <x:c r="G7" s="26" t="str"/>
    </x:row>
    <x:row r="8">
      <x:c r="A8" s="26" t="str">
        <x:v>עדכון README</x:v>
      </x:c>
      <x:c r="B8" s="26" t="str">
        <x:v>להוסיף הסבר על מבנה התיקיות, הרצה ודרישות</x:v>
      </x:c>
      <x:c r="C8" s="26" t="str">
        <x:v>README מסודר</x:v>
      </x:c>
      <x:c r="D8" s="26" t="str">
        <x:v>גבוהה</x:v>
      </x:c>
      <x:c r="E8" s="26" t="str">
        <x:v>שחר</x:v>
      </x:c>
      <x:c r="F8" s="26" t="str">
        <x:v>לא התחיל</x:v>
      </x:c>
      <x:c r="G8" s="26" t="str"/>
    </x:row>
    <x:row r="9">
      <x:c r="A9" s="26" t="str">
        <x:v>תיעוד תיקיות קיימות</x:v>
      </x:c>
      <x:c r="B9" s="26" t="str">
        <x:v>להסביר flow, sensors, sleep mode, web server, men detection model</x:v>
      </x:c>
      <x:c r="C9" s="26" t="str">
        <x:v>טבלת קבצים לספר</x:v>
      </x:c>
      <x:c r="D9" s="26" t="str">
        <x:v>בינונית</x:v>
      </x:c>
      <x:c r="E9" s="26" t="str">
        <x:v>שחר</x:v>
      </x:c>
      <x:c r="F9" s="26" t="str">
        <x:v>לא התחיל</x:v>
      </x:c>
      <x:c r="G9" s="26" t="str"/>
    </x:row>
    <x:row r="10">
      <x:c r="A10" s="26" t="str">
        <x:v>הוספת תמונות תיעוד</x:v>
      </x:c>
      <x:c r="B10" s="26" t="str">
        <x:v>להעלות לתיקייה docs/images תמונות מערכת ותוצאות</x:v>
      </x:c>
      <x:c r="C10" s="26" t="str">
        <x:v>תיקיית תמונות</x:v>
      </x:c>
      <x:c r="D10" s="26" t="str">
        <x:v>בינונית</x:v>
      </x:c>
      <x:c r="E10" s="26" t="str">
        <x:v>שחר ועמית</x:v>
      </x:c>
      <x:c r="F10" s="26" t="str">
        <x:v>לא התחיל</x:v>
      </x:c>
      <x:c r="G10" s="26" t="str"/>
    </x:row>
    <x:row r="11">
      <x:c r="A11" s="26" t="str">
        <x:v>תיוג גרסה</x:v>
      </x:c>
      <x:c r="B11" s="26" t="str">
        <x:v>ליצור commit מסודר לגרסת ההגשה</x:v>
      </x:c>
      <x:c r="C11" s="26" t="str">
        <x:v>commit או release</x:v>
      </x:c>
      <x:c r="D11" s="26" t="str">
        <x:v>נמוכה</x:v>
      </x:c>
      <x:c r="E11" s="26" t="str">
        <x:v>שחר</x:v>
      </x:c>
      <x:c r="F11" s="26" t="str">
        <x:v>לא התחיל</x:v>
      </x:c>
      <x:c r="G11" s="26" t="str"/>
    </x:row>
  </x:sheetData>
  <x:mergeCells>
    <x:mergeCell ref="A1:G1"/>
  </x:mergeCells>
  <x:dataValidations count="3">
    <x:dataValidation type="list" sqref="D7:D11">
      <x:formula1>רשימות!$B$2:$B$4</x:formula1>
    </x:dataValidation>
    <x:dataValidation type="list" sqref="E7:E11">
      <x:formula1>רשימות!$C$2:$C$6</x:formula1>
    </x:dataValidation>
    <x:dataValidation type="list" sqref="F7:F11">
      <x:formula1>רשימות!$A$2:$A$5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075d50a78094f9d"/>
  </x:tableParts>
</x:worksheet>
</file>